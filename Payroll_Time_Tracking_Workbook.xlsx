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Timesheet" sheetId="5" state="visible" r:id="rId5"/>
    <sheet xmlns:r="http://schemas.openxmlformats.org/officeDocument/2006/relationships" name="Import_Raw" sheetId="6" state="visible" r:id="rId6"/>
    <sheet xmlns:r="http://schemas.openxmlformats.org/officeDocument/2006/relationships" name="Payroll_Calc" sheetId="7" state="visible" r:id="rId7"/>
    <sheet xmlns:r="http://schemas.openxmlformats.org/officeDocument/2006/relationships" name="Payroll_Summar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mm/dd/yyyy"/>
    <numFmt numFmtId="166" formatCode="hh:mm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color rgb="00FFFFFF"/>
      <sz val="22"/>
    </font>
    <font>
      <i val="1"/>
      <color rgb="00666666"/>
      <sz val="11"/>
    </font>
    <font>
      <b val="1"/>
      <color rgb="00FFFFFF"/>
      <sz val="11"/>
    </font>
    <font>
      <b val="1"/>
      <color rgb="0017365D"/>
      <sz val="18"/>
    </font>
    <font>
      <b val="1"/>
      <color rgb="001F4E78"/>
      <sz val="12"/>
    </font>
    <font>
      <b val="1"/>
      <color rgb="0017365D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7365D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6" fontId="0" fillId="0" borderId="1" pivotButton="0" quotePrefix="0" xfId="0"/>
    <xf numFmtId="10" fontId="0" fillId="4" borderId="1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3" borderId="1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1" fontId="7" fillId="6" borderId="0" applyAlignment="1" pivotButton="0" quotePrefix="0" xfId="0">
      <alignment horizontal="center"/>
    </xf>
    <xf numFmtId="2" fontId="7" fillId="6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Pay by Employee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'Dashboard'!$A$12:$A$14</f>
            </numRef>
          </cat>
          <val>
            <numRef>
              <f>'Dashboard'!$D$12:$D$14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mployees" displayName="tblEmployees" ref="A1:J4" headerRowCount="1">
  <autoFilter ref="A1:J4"/>
  <tableColumns count="10">
    <tableColumn id="1" name="Employee ID"/>
    <tableColumn id="2" name="Employee Name"/>
    <tableColumn id="3" name="Department"/>
    <tableColumn id="4" name="Job Title"/>
    <tableColumn id="5" name="Employment Status"/>
    <tableColumn id="6" name="Pay Type"/>
    <tableColumn id="7" name="Hourly Rate"/>
    <tableColumn id="8" name="Tax %"/>
    <tableColumn id="9" name="Other Deduction %"/>
    <tableColumn id="10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imesheet" displayName="tblTimesheet" ref="A1:K6" headerRowCount="1">
  <autoFilter ref="A1:K6"/>
  <tableColumns count="11">
    <tableColumn id="1" name="Date"/>
    <tableColumn id="2" name="Employee ID"/>
    <tableColumn id="3" name="Employee Name"/>
    <tableColumn id="4" name="Regular Hours"/>
    <tableColumn id="5" name="Overtime Hours"/>
    <tableColumn id="6" name="Hourly Rate"/>
    <tableColumn id="7" name="Regular Pay"/>
    <tableColumn id="8" name="OT Pay"/>
    <tableColumn id="9" name="Gross Pay"/>
    <tableColumn id="10" name="Source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mportRaw" displayName="tblImportRaw" ref="A1:G5" headerRowCount="1">
  <autoFilter ref="A1:G5"/>
  <tableColumns count="7">
    <tableColumn id="1" name="Employee ID"/>
    <tableColumn id="2" name="Date"/>
    <tableColumn id="3" name="Clock In"/>
    <tableColumn id="4" name="Clock Out"/>
    <tableColumn id="5" name="Break Hours"/>
    <tableColumn id="6" name="Hours Worked"/>
    <tableColumn id="7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ayrollCalc" displayName="tblPayrollCalc" ref="A1:L4" headerRowCount="1">
  <autoFilter ref="A1:L4"/>
  <tableColumns count="12">
    <tableColumn id="1" name="Employee ID"/>
    <tableColumn id="2" name="Employee Name"/>
    <tableColumn id="3" name="Regular Hours"/>
    <tableColumn id="4" name="OT Hours"/>
    <tableColumn id="5" name="Hourly Rate"/>
    <tableColumn id="6" name="Regular Pay"/>
    <tableColumn id="7" name="OT Pay"/>
    <tableColumn id="8" name="Gross Pay"/>
    <tableColumn id="9" name="Tax %"/>
    <tableColumn id="10" name="Tax"/>
    <tableColumn id="11" name="Other Deduction"/>
    <tableColumn id="12" name="Net P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>
      <c r="A1" s="15" t="inlineStr">
        <is>
          <t>SMART PAYROLL &amp; TIME TRACKING</t>
        </is>
      </c>
    </row>
    <row r="2">
      <c r="A2" s="16" t="inlineStr">
        <is>
          <t>Excel 365 • Manual Timesheets • CSV/Power Query Ready • Formula-Driven Payroll</t>
        </is>
      </c>
    </row>
    <row r="4">
      <c r="A4" s="17" t="inlineStr">
        <is>
          <t>Active Employees</t>
        </is>
      </c>
      <c r="C4" s="17" t="inlineStr">
        <is>
          <t>Total Hours</t>
        </is>
      </c>
      <c r="E4" s="17" t="inlineStr">
        <is>
          <t>Gross Payroll</t>
        </is>
      </c>
      <c r="G4" s="17" t="inlineStr">
        <is>
          <t>Net Payroll</t>
        </is>
      </c>
    </row>
    <row r="5">
      <c r="A5" s="18">
        <f>COUNTIF(Employees!J2:J1000,"Yes")</f>
        <v/>
      </c>
      <c r="C5" s="19">
        <f>SUM(Payroll_Calc!C2:C1000)+SUM(Payroll_Calc!D2:D1000)</f>
        <v/>
      </c>
      <c r="E5" s="20">
        <f>SUM(Payroll_Calc!H2:H1000)</f>
        <v/>
      </c>
      <c r="G5" s="20">
        <f>SUM(Payroll_Calc!L2:L1000)</f>
        <v/>
      </c>
    </row>
    <row r="7">
      <c r="A7" s="21" t="inlineStr">
        <is>
          <t>PAY PERIOD</t>
        </is>
      </c>
    </row>
    <row r="8">
      <c r="A8" t="inlineStr">
        <is>
          <t>Start</t>
        </is>
      </c>
      <c r="B8" s="12">
        <f>Settings!B2</f>
        <v/>
      </c>
      <c r="C8" t="inlineStr">
        <is>
          <t>End</t>
        </is>
      </c>
      <c r="D8" s="12">
        <f>Settings!B3</f>
        <v/>
      </c>
    </row>
    <row r="10">
      <c r="A10" s="22" t="inlineStr">
        <is>
          <t>EMPLOYEE PAYROLL SNAPSHOT</t>
        </is>
      </c>
    </row>
    <row r="11">
      <c r="A11" s="23" t="inlineStr">
        <is>
          <t>Employee</t>
        </is>
      </c>
      <c r="B11" s="23" t="inlineStr">
        <is>
          <t>Regular Hrs</t>
        </is>
      </c>
      <c r="C11" s="23" t="inlineStr">
        <is>
          <t>OT Hrs</t>
        </is>
      </c>
      <c r="D11" s="23" t="inlineStr">
        <is>
          <t>Gross Pay</t>
        </is>
      </c>
      <c r="E11" s="23" t="inlineStr">
        <is>
          <t>Tax</t>
        </is>
      </c>
      <c r="F11" s="23" t="inlineStr">
        <is>
          <t>Net Pay</t>
        </is>
      </c>
    </row>
    <row r="12">
      <c r="A12" s="24">
        <f>Payroll_Calc!B2</f>
        <v/>
      </c>
      <c r="B12" s="24">
        <f>Payroll_Calc!C2</f>
        <v/>
      </c>
      <c r="C12" s="24">
        <f>Payroll_Calc!D2</f>
        <v/>
      </c>
      <c r="D12" s="25">
        <f>Payroll_Calc!H2</f>
        <v/>
      </c>
      <c r="E12" s="25">
        <f>Payroll_Calc!J2</f>
        <v/>
      </c>
      <c r="F12" s="25">
        <f>Payroll_Calc!L2</f>
        <v/>
      </c>
    </row>
    <row r="13">
      <c r="A13" s="24">
        <f>Payroll_Calc!B3</f>
        <v/>
      </c>
      <c r="B13" s="24">
        <f>Payroll_Calc!C3</f>
        <v/>
      </c>
      <c r="C13" s="24">
        <f>Payroll_Calc!D3</f>
        <v/>
      </c>
      <c r="D13" s="25">
        <f>Payroll_Calc!H3</f>
        <v/>
      </c>
      <c r="E13" s="25">
        <f>Payroll_Calc!J3</f>
        <v/>
      </c>
      <c r="F13" s="25">
        <f>Payroll_Calc!L3</f>
        <v/>
      </c>
    </row>
    <row r="14">
      <c r="A14" s="24">
        <f>Payroll_Calc!B4</f>
        <v/>
      </c>
      <c r="B14" s="24">
        <f>Payroll_Calc!C4</f>
        <v/>
      </c>
      <c r="C14" s="24">
        <f>Payroll_Calc!D4</f>
        <v/>
      </c>
      <c r="D14" s="25">
        <f>Payroll_Calc!H4</f>
        <v/>
      </c>
      <c r="E14" s="25">
        <f>Payroll_Calc!J4</f>
        <v/>
      </c>
      <c r="F14" s="25">
        <f>Payroll_Calc!L4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16E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PAYROLL &amp; TIME TRACKING WORKBOOK</t>
        </is>
      </c>
    </row>
    <row r="2">
      <c r="A2" s="2" t="inlineStr">
        <is>
          <t>Purpose</t>
        </is>
      </c>
      <c r="B2" s="3" t="inlineStr">
        <is>
          <t>Track employee hours and calculate payroll in one Excel 365 workbook.</t>
        </is>
      </c>
    </row>
    <row r="3">
      <c r="A3" s="2" t="inlineStr">
        <is>
          <t>Workflow</t>
        </is>
      </c>
      <c r="B3" s="3" t="inlineStr">
        <is>
          <t>Employees → Timesheet / CSV Import → Payroll_Calc → Payroll_Summary</t>
        </is>
      </c>
    </row>
    <row r="4">
      <c r="A4" s="2" t="inlineStr">
        <is>
          <t>Manual entry</t>
        </is>
      </c>
      <c r="B4" s="3" t="inlineStr">
        <is>
          <t>Enter dates, Employee IDs, regular hours and overtime hours on Timesheet.</t>
        </is>
      </c>
    </row>
    <row r="5">
      <c r="A5" s="2" t="inlineStr">
        <is>
          <t>CSV import</t>
        </is>
      </c>
      <c r="B5" s="3" t="inlineStr">
        <is>
          <t>Use Power Query in Excel: Data → Get Data → From Text/CSV. Load the transformed data to Import_Raw.</t>
        </is>
      </c>
    </row>
    <row r="6">
      <c r="A6" s="2" t="inlineStr">
        <is>
          <t>Important</t>
        </is>
      </c>
      <c r="B6" s="3" t="inlineStr">
        <is>
          <t>Tax and deduction fields are configurable placeholders. Confirm applicable payroll/tax rules before production use.</t>
        </is>
      </c>
    </row>
    <row r="7">
      <c r="A7" s="2" t="inlineStr">
        <is>
          <t>Overtime</t>
        </is>
      </c>
      <c r="B7" s="3" t="inlineStr">
        <is>
          <t>Overtime hours and multiplier are separated so overtime rules can be changed later.</t>
        </is>
      </c>
    </row>
    <row r="8">
      <c r="A8" s="2" t="inlineStr">
        <is>
          <t>Testing</t>
        </is>
      </c>
      <c r="B8" s="3" t="inlineStr">
        <is>
          <t>Sample data is included. Change hours or rates and verify Payroll_Summary updates.</t>
        </is>
      </c>
    </row>
    <row r="9">
      <c r="A9" s="2" t="inlineStr">
        <is>
          <t>Protection</t>
        </is>
      </c>
      <c r="B9" s="3" t="inlineStr">
        <is>
          <t>Formula/report sheets are intended to be protected after testing; input areas remain editable.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20" customWidth="1" min="4" max="4"/>
    <col width="18" customWidth="1" min="5" max="5"/>
    <col width="12" customWidth="1" min="6" max="6"/>
    <col width="14" customWidth="1" min="7" max="7"/>
    <col width="12" customWidth="1" min="8" max="8"/>
    <col width="18" customWidth="1" min="9" max="9"/>
    <col width="10" customWidth="1" min="10" max="10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Department</t>
        </is>
      </c>
      <c r="D1" s="4" t="inlineStr">
        <is>
          <t>Job Title</t>
        </is>
      </c>
      <c r="E1" s="4" t="inlineStr">
        <is>
          <t>Employment Status</t>
        </is>
      </c>
      <c r="F1" s="4" t="inlineStr">
        <is>
          <t>Pay Type</t>
        </is>
      </c>
      <c r="G1" s="4" t="inlineStr">
        <is>
          <t>Hourly Rate</t>
        </is>
      </c>
      <c r="H1" s="4" t="inlineStr">
        <is>
          <t>Tax %</t>
        </is>
      </c>
      <c r="I1" s="4" t="inlineStr">
        <is>
          <t>Other Deduction %</t>
        </is>
      </c>
      <c r="J1" s="4" t="inlineStr">
        <is>
          <t>Active</t>
        </is>
      </c>
    </row>
    <row r="2">
      <c r="A2" s="3" t="inlineStr">
        <is>
          <t>E001</t>
        </is>
      </c>
      <c r="B2" s="3" t="inlineStr">
        <is>
          <t>John Smith</t>
        </is>
      </c>
      <c r="C2" s="3" t="inlineStr">
        <is>
          <t>Sales</t>
        </is>
      </c>
      <c r="D2" s="3" t="inlineStr">
        <is>
          <t>Sales Associate</t>
        </is>
      </c>
      <c r="E2" s="3" t="inlineStr">
        <is>
          <t>Full-Time</t>
        </is>
      </c>
      <c r="F2" s="3" t="inlineStr">
        <is>
          <t>Hourly</t>
        </is>
      </c>
      <c r="G2" s="5" t="n">
        <v>20</v>
      </c>
      <c r="H2" s="6" t="n">
        <v>0.1</v>
      </c>
      <c r="I2" s="6" t="n">
        <v>0</v>
      </c>
      <c r="J2" s="3" t="inlineStr">
        <is>
          <t>Yes</t>
        </is>
      </c>
    </row>
    <row r="3">
      <c r="A3" s="3" t="inlineStr">
        <is>
          <t>E002</t>
        </is>
      </c>
      <c r="B3" s="3" t="inlineStr">
        <is>
          <t>Sarah Lee</t>
        </is>
      </c>
      <c r="C3" s="3" t="inlineStr">
        <is>
          <t>HR</t>
        </is>
      </c>
      <c r="D3" s="3" t="inlineStr">
        <is>
          <t>HR Specialist</t>
        </is>
      </c>
      <c r="E3" s="3" t="inlineStr">
        <is>
          <t>Full-Time</t>
        </is>
      </c>
      <c r="F3" s="3" t="inlineStr">
        <is>
          <t>Hourly</t>
        </is>
      </c>
      <c r="G3" s="5" t="n">
        <v>25</v>
      </c>
      <c r="H3" s="6" t="n">
        <v>0.1</v>
      </c>
      <c r="I3" s="6" t="n">
        <v>0</v>
      </c>
      <c r="J3" s="3" t="inlineStr">
        <is>
          <t>Yes</t>
        </is>
      </c>
    </row>
    <row r="4">
      <c r="A4" s="3" t="inlineStr">
        <is>
          <t>E003</t>
        </is>
      </c>
      <c r="B4" s="3" t="inlineStr">
        <is>
          <t>David Brown</t>
        </is>
      </c>
      <c r="C4" s="3" t="inlineStr">
        <is>
          <t>IT</t>
        </is>
      </c>
      <c r="D4" s="3" t="inlineStr">
        <is>
          <t>Support Analyst</t>
        </is>
      </c>
      <c r="E4" s="3" t="inlineStr">
        <is>
          <t>Part-Time</t>
        </is>
      </c>
      <c r="F4" s="3" t="inlineStr">
        <is>
          <t>Hourly</t>
        </is>
      </c>
      <c r="G4" s="5" t="n">
        <v>22</v>
      </c>
      <c r="H4" s="6" t="n">
        <v>0.1</v>
      </c>
      <c r="I4" s="6" t="n">
        <v>0</v>
      </c>
      <c r="J4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2" t="inlineStr">
        <is>
          <t>Pay Period Start</t>
        </is>
      </c>
      <c r="B2" s="7" t="inlineStr">
        <is>
          <t>2026-09-01</t>
        </is>
      </c>
    </row>
    <row r="3">
      <c r="A3" s="2" t="inlineStr">
        <is>
          <t>Pay Period End</t>
        </is>
      </c>
      <c r="B3" s="7" t="inlineStr">
        <is>
          <t>2026-09-15</t>
        </is>
      </c>
    </row>
    <row r="4">
      <c r="A4" s="2" t="inlineStr">
        <is>
          <t>Standard Hours / Day</t>
        </is>
      </c>
      <c r="B4" s="3" t="n">
        <v>8</v>
      </c>
    </row>
    <row r="5">
      <c r="A5" s="2" t="inlineStr">
        <is>
          <t>Overtime Multiplier</t>
        </is>
      </c>
      <c r="B5" s="3" t="n">
        <v>1.5</v>
      </c>
    </row>
    <row r="6">
      <c r="A6" s="2" t="inlineStr">
        <is>
          <t>Default Tax Rate</t>
        </is>
      </c>
      <c r="B6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25" customWidth="1" min="11" max="11"/>
  </cols>
  <sheetData>
    <row r="1">
      <c r="A1" s="4" t="inlineStr">
        <is>
          <t>Date</t>
        </is>
      </c>
      <c r="B1" s="4" t="inlineStr">
        <is>
          <t>Employee ID</t>
        </is>
      </c>
      <c r="C1" s="4" t="inlineStr">
        <is>
          <t>Employee Name</t>
        </is>
      </c>
      <c r="D1" s="4" t="inlineStr">
        <is>
          <t>Regular Hours</t>
        </is>
      </c>
      <c r="E1" s="4" t="inlineStr">
        <is>
          <t>Overtime Hours</t>
        </is>
      </c>
      <c r="F1" s="4" t="inlineStr">
        <is>
          <t>Hourly Rate</t>
        </is>
      </c>
      <c r="G1" s="4" t="inlineStr">
        <is>
          <t>Regular Pay</t>
        </is>
      </c>
      <c r="H1" s="4" t="inlineStr">
        <is>
          <t>OT Pay</t>
        </is>
      </c>
      <c r="I1" s="4" t="inlineStr">
        <is>
          <t>Gross Pay</t>
        </is>
      </c>
      <c r="J1" s="4" t="inlineStr">
        <is>
          <t>Source</t>
        </is>
      </c>
      <c r="K1" s="4" t="inlineStr">
        <is>
          <t>Notes</t>
        </is>
      </c>
    </row>
    <row r="2">
      <c r="A2" s="7" t="inlineStr">
        <is>
          <t>2026-09-01</t>
        </is>
      </c>
      <c r="B2" s="3" t="inlineStr">
        <is>
          <t>E001</t>
        </is>
      </c>
      <c r="C2" s="8">
        <f>IFERROR(XLOOKUP(B2,tblEmployees[Employee ID],tblEmployees[Employee Name],""),"")</f>
        <v/>
      </c>
      <c r="D2" s="3" t="n">
        <v>8</v>
      </c>
      <c r="E2" s="3" t="n">
        <v>0</v>
      </c>
      <c r="F2" s="9">
        <f>IFERROR(XLOOKUP(B2,tblEmployees[Employee ID],tblEmployees[Hourly Rate],0),0)</f>
        <v/>
      </c>
      <c r="G2" s="9">
        <f>D2*F2</f>
        <v/>
      </c>
      <c r="H2" s="9">
        <f>E2*F2*Settings!$B$5</f>
        <v/>
      </c>
      <c r="I2" s="9">
        <f>G2+H2</f>
        <v/>
      </c>
      <c r="J2" s="3" t="inlineStr">
        <is>
          <t>Manual</t>
        </is>
      </c>
      <c r="K2" s="3" t="inlineStr"/>
    </row>
    <row r="3">
      <c r="A3" s="7" t="inlineStr">
        <is>
          <t>2026-09-02</t>
        </is>
      </c>
      <c r="B3" s="3" t="inlineStr">
        <is>
          <t>E001</t>
        </is>
      </c>
      <c r="C3" s="8">
        <f>IFERROR(XLOOKUP(B3,tblEmployees[Employee ID],tblEmployees[Employee Name],""),"")</f>
        <v/>
      </c>
      <c r="D3" s="3" t="n">
        <v>8</v>
      </c>
      <c r="E3" s="3" t="n">
        <v>2</v>
      </c>
      <c r="F3" s="9">
        <f>IFERROR(XLOOKUP(B3,tblEmployees[Employee ID],tblEmployees[Hourly Rate],0),0)</f>
        <v/>
      </c>
      <c r="G3" s="9">
        <f>D3*F3</f>
        <v/>
      </c>
      <c r="H3" s="9">
        <f>E3*F3*Settings!$B$5</f>
        <v/>
      </c>
      <c r="I3" s="9">
        <f>G3+H3</f>
        <v/>
      </c>
      <c r="J3" s="3" t="inlineStr">
        <is>
          <t>Manual</t>
        </is>
      </c>
      <c r="K3" s="3" t="inlineStr"/>
    </row>
    <row r="4">
      <c r="A4" s="7" t="inlineStr">
        <is>
          <t>2026-09-01</t>
        </is>
      </c>
      <c r="B4" s="3" t="inlineStr">
        <is>
          <t>E002</t>
        </is>
      </c>
      <c r="C4" s="8">
        <f>IFERROR(XLOOKUP(B4,tblEmployees[Employee ID],tblEmployees[Employee Name],""),"")</f>
        <v/>
      </c>
      <c r="D4" s="3" t="n">
        <v>8</v>
      </c>
      <c r="E4" s="3" t="n">
        <v>0</v>
      </c>
      <c r="F4" s="9">
        <f>IFERROR(XLOOKUP(B4,tblEmployees[Employee ID],tblEmployees[Hourly Rate],0),0)</f>
        <v/>
      </c>
      <c r="G4" s="9">
        <f>D4*F4</f>
        <v/>
      </c>
      <c r="H4" s="9">
        <f>E4*F4*Settings!$B$5</f>
        <v/>
      </c>
      <c r="I4" s="9">
        <f>G4+H4</f>
        <v/>
      </c>
      <c r="J4" s="3" t="inlineStr">
        <is>
          <t>Manual</t>
        </is>
      </c>
      <c r="K4" s="3" t="inlineStr"/>
    </row>
    <row r="5">
      <c r="A5" s="7" t="inlineStr">
        <is>
          <t>2026-09-02</t>
        </is>
      </c>
      <c r="B5" s="3" t="inlineStr">
        <is>
          <t>E002</t>
        </is>
      </c>
      <c r="C5" s="8">
        <f>IFERROR(XLOOKUP(B5,tblEmployees[Employee ID],tblEmployees[Employee Name],""),"")</f>
        <v/>
      </c>
      <c r="D5" s="3" t="n">
        <v>8</v>
      </c>
      <c r="E5" s="3" t="n">
        <v>0</v>
      </c>
      <c r="F5" s="9">
        <f>IFERROR(XLOOKUP(B5,tblEmployees[Employee ID],tblEmployees[Hourly Rate],0),0)</f>
        <v/>
      </c>
      <c r="G5" s="9">
        <f>D5*F5</f>
        <v/>
      </c>
      <c r="H5" s="9">
        <f>E5*F5*Settings!$B$5</f>
        <v/>
      </c>
      <c r="I5" s="9">
        <f>G5+H5</f>
        <v/>
      </c>
      <c r="J5" s="3" t="inlineStr">
        <is>
          <t>Manual</t>
        </is>
      </c>
      <c r="K5" s="3" t="inlineStr"/>
    </row>
    <row r="6">
      <c r="A6" s="7" t="inlineStr">
        <is>
          <t>2026-09-01</t>
        </is>
      </c>
      <c r="B6" s="3" t="inlineStr">
        <is>
          <t>E003</t>
        </is>
      </c>
      <c r="C6" s="8">
        <f>IFERROR(XLOOKUP(B6,tblEmployees[Employee ID],tblEmployees[Employee Name],""),"")</f>
        <v/>
      </c>
      <c r="D6" s="3" t="n">
        <v>8</v>
      </c>
      <c r="E6" s="3" t="n">
        <v>0</v>
      </c>
      <c r="F6" s="9">
        <f>IFERROR(XLOOKUP(B6,tblEmployees[Employee ID],tblEmployees[Hourly Rate],0),0)</f>
        <v/>
      </c>
      <c r="G6" s="9">
        <f>D6*F6</f>
        <v/>
      </c>
      <c r="H6" s="9">
        <f>E6*F6*Settings!$B$5</f>
        <v/>
      </c>
      <c r="I6" s="9">
        <f>G6+H6</f>
        <v/>
      </c>
      <c r="J6" s="3" t="inlineStr">
        <is>
          <t>Manual</t>
        </is>
      </c>
      <c r="K6" s="3" t="inlineStr"/>
    </row>
  </sheetData>
  <dataValidations count="2">
    <dataValidation sqref="B2:B1000" showDropDown="0" showInputMessage="0" showErrorMessage="0" allowBlank="0" type="list">
      <formula1>=Employees!$A$2:$A$100</formula1>
    </dataValidation>
    <dataValidation sqref="D2:E1000" showDropDown="0" showInputMessage="0" showErrorMessage="0" allowBlank="1" type="decimal" operator="between">
      <formula1>0</formula1>
      <formula2>24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16" customWidth="1" min="7" max="7"/>
  </cols>
  <sheetData>
    <row r="1">
      <c r="A1" s="4" t="inlineStr">
        <is>
          <t>Employee ID</t>
        </is>
      </c>
      <c r="B1" s="4" t="inlineStr">
        <is>
          <t>Date</t>
        </is>
      </c>
      <c r="C1" s="4" t="inlineStr">
        <is>
          <t>Clock In</t>
        </is>
      </c>
      <c r="D1" s="4" t="inlineStr">
        <is>
          <t>Clock Out</t>
        </is>
      </c>
      <c r="E1" s="4" t="inlineStr">
        <is>
          <t>Break Hours</t>
        </is>
      </c>
      <c r="F1" s="4" t="inlineStr">
        <is>
          <t>Hours Worked</t>
        </is>
      </c>
      <c r="G1" s="4" t="inlineStr">
        <is>
          <t>Source</t>
        </is>
      </c>
    </row>
    <row r="2">
      <c r="A2" s="3" t="inlineStr">
        <is>
          <t>E001</t>
        </is>
      </c>
      <c r="B2" s="7" t="inlineStr">
        <is>
          <t>2026-09-01</t>
        </is>
      </c>
      <c r="C2" s="10" t="inlineStr">
        <is>
          <t>08:00</t>
        </is>
      </c>
      <c r="D2" s="10" t="inlineStr">
        <is>
          <t>17:00</t>
        </is>
      </c>
      <c r="E2" s="3" t="n">
        <v>1</v>
      </c>
      <c r="F2" s="8">
        <f>MAX(0,MOD(D2-C2,1)*24-E2)</f>
        <v/>
      </c>
      <c r="G2" s="3" t="inlineStr">
        <is>
          <t>Sample CSV</t>
        </is>
      </c>
    </row>
    <row r="3">
      <c r="A3" s="3" t="inlineStr">
        <is>
          <t>E001</t>
        </is>
      </c>
      <c r="B3" s="7" t="inlineStr">
        <is>
          <t>2026-09-02</t>
        </is>
      </c>
      <c r="C3" s="10" t="inlineStr">
        <is>
          <t>08:00</t>
        </is>
      </c>
      <c r="D3" s="10" t="inlineStr">
        <is>
          <t>18:00</t>
        </is>
      </c>
      <c r="E3" s="3" t="n">
        <v>1</v>
      </c>
      <c r="F3" s="8">
        <f>MAX(0,MOD(D3-C3,1)*24-E3)</f>
        <v/>
      </c>
      <c r="G3" s="3" t="inlineStr">
        <is>
          <t>Sample CSV</t>
        </is>
      </c>
    </row>
    <row r="4">
      <c r="A4" s="3" t="inlineStr">
        <is>
          <t>E002</t>
        </is>
      </c>
      <c r="B4" s="7" t="inlineStr">
        <is>
          <t>2026-09-01</t>
        </is>
      </c>
      <c r="C4" s="10" t="inlineStr">
        <is>
          <t>09:00</t>
        </is>
      </c>
      <c r="D4" s="10" t="inlineStr">
        <is>
          <t>17:30</t>
        </is>
      </c>
      <c r="E4" s="3" t="n">
        <v>0.5</v>
      </c>
      <c r="F4" s="8">
        <f>MAX(0,MOD(D4-C4,1)*24-E4)</f>
        <v/>
      </c>
      <c r="G4" s="3" t="inlineStr">
        <is>
          <t>Sample CSV</t>
        </is>
      </c>
    </row>
    <row r="5">
      <c r="A5" s="3" t="inlineStr">
        <is>
          <t>E003</t>
        </is>
      </c>
      <c r="B5" s="7" t="inlineStr">
        <is>
          <t>2026-09-01</t>
        </is>
      </c>
      <c r="C5" s="10" t="inlineStr">
        <is>
          <t>08:30</t>
        </is>
      </c>
      <c r="D5" s="10" t="inlineStr">
        <is>
          <t>17:00</t>
        </is>
      </c>
      <c r="E5" s="3" t="n">
        <v>0.5</v>
      </c>
      <c r="F5" s="8">
        <f>MAX(0,MOD(D5-C5,1)*24-E5)</f>
        <v/>
      </c>
      <c r="G5" s="3" t="inlineStr">
        <is>
          <t>Sample 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17" customWidth="1" min="11" max="11"/>
    <col width="14" customWidth="1" min="12" max="12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Regular Hours</t>
        </is>
      </c>
      <c r="D1" s="4" t="inlineStr">
        <is>
          <t>OT Hours</t>
        </is>
      </c>
      <c r="E1" s="4" t="inlineStr">
        <is>
          <t>Hourly Rate</t>
        </is>
      </c>
      <c r="F1" s="4" t="inlineStr">
        <is>
          <t>Regular Pay</t>
        </is>
      </c>
      <c r="G1" s="4" t="inlineStr">
        <is>
          <t>OT Pay</t>
        </is>
      </c>
      <c r="H1" s="4" t="inlineStr">
        <is>
          <t>Gross Pay</t>
        </is>
      </c>
      <c r="I1" s="4" t="inlineStr">
        <is>
          <t>Tax %</t>
        </is>
      </c>
      <c r="J1" s="4" t="inlineStr">
        <is>
          <t>Tax</t>
        </is>
      </c>
      <c r="K1" s="4" t="inlineStr">
        <is>
          <t>Other Deduction</t>
        </is>
      </c>
      <c r="L1" s="4" t="inlineStr">
        <is>
          <t>Net Pay</t>
        </is>
      </c>
    </row>
    <row r="2">
      <c r="A2" s="3" t="inlineStr">
        <is>
          <t>E001</t>
        </is>
      </c>
      <c r="B2" s="8">
        <f>IFERROR(XLOOKUP(A2,tblEmployees[Employee ID],tblEmployees[Employee Name],""),"")</f>
        <v/>
      </c>
      <c r="C2" s="8">
        <f>SUMIFS(tblTimesheet[Regular Hours],tblTimesheet[Employee ID],A2,tblTimesheet[Date],"&gt;="&amp;Settings!$B$2,tblTimesheet[Date],"&lt;="&amp;Settings!$B$3)</f>
        <v/>
      </c>
      <c r="D2" s="8">
        <f>SUMIFS(tblTimesheet[Overtime Hours],tblTimesheet[Employee ID],A2,tblTimesheet[Date],"&gt;="&amp;Settings!$B$2,tblTimesheet[Date],"&lt;="&amp;Settings!$B$3)</f>
        <v/>
      </c>
      <c r="E2" s="9">
        <f>IFERROR(XLOOKUP(A2,tblEmployees[Employee ID],tblEmployees[Hourly Rate],0),0)</f>
        <v/>
      </c>
      <c r="F2" s="9">
        <f>C2*E2</f>
        <v/>
      </c>
      <c r="G2" s="9">
        <f>D2*E2*Settings!$B$5</f>
        <v/>
      </c>
      <c r="H2" s="9">
        <f>F2+G2</f>
        <v/>
      </c>
      <c r="I2" s="11">
        <f>IFERROR(XLOOKUP(A2,tblEmployees[Employee ID],tblEmployees[Tax %],Settings!$B$6),Settings!$B$6)</f>
        <v/>
      </c>
      <c r="J2" s="9">
        <f>H2*I2</f>
        <v/>
      </c>
      <c r="K2" s="9">
        <f>H2*IFERROR(XLOOKUP(A2,tblEmployees[Employee ID],tblEmployees[Other Deduction %],0),0)</f>
        <v/>
      </c>
      <c r="L2" s="9">
        <f>H2-J2-K2</f>
        <v/>
      </c>
    </row>
    <row r="3">
      <c r="A3" s="3" t="inlineStr">
        <is>
          <t>E002</t>
        </is>
      </c>
      <c r="B3" s="8">
        <f>IFERROR(XLOOKUP(A3,tblEmployees[Employee ID],tblEmployees[Employee Name],""),"")</f>
        <v/>
      </c>
      <c r="C3" s="8">
        <f>SUMIFS(tblTimesheet[Regular Hours],tblTimesheet[Employee ID],A3,tblTimesheet[Date],"&gt;="&amp;Settings!$B$2,tblTimesheet[Date],"&lt;="&amp;Settings!$B$3)</f>
        <v/>
      </c>
      <c r="D3" s="8">
        <f>SUMIFS(tblTimesheet[Overtime Hours],tblTimesheet[Employee ID],A3,tblTimesheet[Date],"&gt;="&amp;Settings!$B$2,tblTimesheet[Date],"&lt;="&amp;Settings!$B$3)</f>
        <v/>
      </c>
      <c r="E3" s="9">
        <f>IFERROR(XLOOKUP(A3,tblEmployees[Employee ID],tblEmployees[Hourly Rate],0),0)</f>
        <v/>
      </c>
      <c r="F3" s="9">
        <f>C3*E3</f>
        <v/>
      </c>
      <c r="G3" s="9">
        <f>D3*E3*Settings!$B$5</f>
        <v/>
      </c>
      <c r="H3" s="9">
        <f>F3+G3</f>
        <v/>
      </c>
      <c r="I3" s="11">
        <f>IFERROR(XLOOKUP(A3,tblEmployees[Employee ID],tblEmployees[Tax %],Settings!$B$6),Settings!$B$6)</f>
        <v/>
      </c>
      <c r="J3" s="9">
        <f>H3*I3</f>
        <v/>
      </c>
      <c r="K3" s="9">
        <f>H3*IFERROR(XLOOKUP(A3,tblEmployees[Employee ID],tblEmployees[Other Deduction %],0),0)</f>
        <v/>
      </c>
      <c r="L3" s="9">
        <f>H3-J3-K3</f>
        <v/>
      </c>
    </row>
    <row r="4">
      <c r="A4" s="3" t="inlineStr">
        <is>
          <t>E003</t>
        </is>
      </c>
      <c r="B4" s="8">
        <f>IFERROR(XLOOKUP(A4,tblEmployees[Employee ID],tblEmployees[Employee Name],""),"")</f>
        <v/>
      </c>
      <c r="C4" s="8">
        <f>SUMIFS(tblTimesheet[Regular Hours],tblTimesheet[Employee ID],A4,tblTimesheet[Date],"&gt;="&amp;Settings!$B$2,tblTimesheet[Date],"&lt;="&amp;Settings!$B$3)</f>
        <v/>
      </c>
      <c r="D4" s="8">
        <f>SUMIFS(tblTimesheet[Overtime Hours],tblTimesheet[Employee ID],A4,tblTimesheet[Date],"&gt;="&amp;Settings!$B$2,tblTimesheet[Date],"&lt;="&amp;Settings!$B$3)</f>
        <v/>
      </c>
      <c r="E4" s="9">
        <f>IFERROR(XLOOKUP(A4,tblEmployees[Employee ID],tblEmployees[Hourly Rate],0),0)</f>
        <v/>
      </c>
      <c r="F4" s="9">
        <f>C4*E4</f>
        <v/>
      </c>
      <c r="G4" s="9">
        <f>D4*E4*Settings!$B$5</f>
        <v/>
      </c>
      <c r="H4" s="9">
        <f>F4+G4</f>
        <v/>
      </c>
      <c r="I4" s="11">
        <f>IFERROR(XLOOKUP(A4,tblEmployees[Employee ID],tblEmployees[Tax %],Settings!$B$6),Settings!$B$6)</f>
        <v/>
      </c>
      <c r="J4" s="9">
        <f>H4*I4</f>
        <v/>
      </c>
      <c r="K4" s="9">
        <f>H4*IFERROR(XLOOKUP(A4,tblEmployees[Employee ID],tblEmployees[Other Deduction %],0),0)</f>
        <v/>
      </c>
      <c r="L4" s="9">
        <f>H4-J4-K4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16E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PAYROLL SUMMARY</t>
        </is>
      </c>
    </row>
    <row r="2">
      <c r="A2" t="inlineStr">
        <is>
          <t>Pay Period Start</t>
        </is>
      </c>
      <c r="B2" s="12">
        <f>Settings!B2</f>
        <v/>
      </c>
      <c r="C2" t="inlineStr">
        <is>
          <t>Pay Period End</t>
        </is>
      </c>
      <c r="D2" s="12">
        <f>Settings!B3</f>
        <v/>
      </c>
    </row>
    <row r="4">
      <c r="A4" s="4" t="inlineStr">
        <is>
          <t>Employee ID</t>
        </is>
      </c>
      <c r="B4" s="4" t="inlineStr">
        <is>
          <t>Employee Name</t>
        </is>
      </c>
      <c r="C4" s="4" t="inlineStr">
        <is>
          <t>Regular Hours</t>
        </is>
      </c>
      <c r="D4" s="4" t="inlineStr">
        <is>
          <t>OT Hours</t>
        </is>
      </c>
      <c r="E4" s="4" t="inlineStr">
        <is>
          <t>Gross Pay</t>
        </is>
      </c>
      <c r="F4" s="4" t="inlineStr">
        <is>
          <t>Tax</t>
        </is>
      </c>
      <c r="G4" s="4" t="inlineStr">
        <is>
          <t>Other Deductions</t>
        </is>
      </c>
      <c r="H4" s="4" t="inlineStr">
        <is>
          <t>Net Pay</t>
        </is>
      </c>
    </row>
    <row r="5">
      <c r="A5" s="3">
        <f>Payroll_Calc!A2</f>
        <v/>
      </c>
      <c r="B5" s="3">
        <f>Payroll_Calc!B2</f>
        <v/>
      </c>
      <c r="C5" s="3">
        <f>Payroll_Calc!C2</f>
        <v/>
      </c>
      <c r="D5" s="3">
        <f>Payroll_Calc!D2</f>
        <v/>
      </c>
      <c r="E5" s="5">
        <f>Payroll_Calc!E2</f>
        <v/>
      </c>
      <c r="F5" s="5">
        <f>Payroll_Calc!F2</f>
        <v/>
      </c>
      <c r="G5" s="5">
        <f>Payroll_Calc!G2</f>
        <v/>
      </c>
      <c r="H5" s="5">
        <f>Payroll_Calc!H2</f>
        <v/>
      </c>
    </row>
    <row r="6">
      <c r="A6" s="3">
        <f>Payroll_Calc!A3</f>
        <v/>
      </c>
      <c r="B6" s="3">
        <f>Payroll_Calc!B3</f>
        <v/>
      </c>
      <c r="C6" s="3">
        <f>Payroll_Calc!C3</f>
        <v/>
      </c>
      <c r="D6" s="3">
        <f>Payroll_Calc!D3</f>
        <v/>
      </c>
      <c r="E6" s="5">
        <f>Payroll_Calc!E3</f>
        <v/>
      </c>
      <c r="F6" s="5">
        <f>Payroll_Calc!F3</f>
        <v/>
      </c>
      <c r="G6" s="5">
        <f>Payroll_Calc!G3</f>
        <v/>
      </c>
      <c r="H6" s="5">
        <f>Payroll_Calc!H3</f>
        <v/>
      </c>
    </row>
    <row r="7">
      <c r="A7" s="3">
        <f>Payroll_Calc!A4</f>
        <v/>
      </c>
      <c r="B7" s="3">
        <f>Payroll_Calc!B4</f>
        <v/>
      </c>
      <c r="C7" s="3">
        <f>Payroll_Calc!C4</f>
        <v/>
      </c>
      <c r="D7" s="3">
        <f>Payroll_Calc!D4</f>
        <v/>
      </c>
      <c r="E7" s="5">
        <f>Payroll_Calc!E4</f>
        <v/>
      </c>
      <c r="F7" s="5">
        <f>Payroll_Calc!F4</f>
        <v/>
      </c>
      <c r="G7" s="5">
        <f>Payroll_Calc!G4</f>
        <v/>
      </c>
      <c r="H7" s="5">
        <f>Payroll_Calc!H4</f>
        <v/>
      </c>
    </row>
    <row r="8">
      <c r="A8" s="13" t="inlineStr">
        <is>
          <t>TOTAL</t>
        </is>
      </c>
      <c r="C8" s="2">
        <f>SUM(C5:C7)</f>
        <v/>
      </c>
      <c r="D8" s="2">
        <f>SUM(D5:D7)</f>
        <v/>
      </c>
      <c r="E8" s="14">
        <f>SUM(E5:E7)</f>
        <v/>
      </c>
      <c r="F8" s="14">
        <f>SUM(F5:F7)</f>
        <v/>
      </c>
      <c r="G8" s="14">
        <f>SUM(G5:G7)</f>
        <v/>
      </c>
      <c r="H8" s="14">
        <f>SUM(H5:H7)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16E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2026-09-25T13:29:11Z</dcterms:created>
  <dcterms:modified xmlns:dcterms="http://purl.org/dc/terms/" xmlns:xsi="http://www.w3.org/2001/XMLSchema-instance" xsi:type="dcterms:W3CDTF">2026-09-25T13:36:52Z</dcterms:modified>
</cp:coreProperties>
</file>